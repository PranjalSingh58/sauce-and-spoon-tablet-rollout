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d317e0e79a4494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KPI Dashboard" sheetId="1" r:id="R7be34bd2ff104df4"/>
    <x:sheet xmlns:r="http://schemas.openxmlformats.org/officeDocument/2006/relationships" name="Launch Data" sheetId="2" r:id="R5f8a07b182b24af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%"/>
  </x:numFmts>
  <x:fonts count="13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  <x:font>
      <x:b/>
      <x:sz val="22"/>
      <x:color rgb="FFFFFFFF"/>
      <x:name val="Carlito"/>
    </x:font>
    <x:font>
      <x:sz val="11"/>
      <x:color rgb="FFDDE9F3"/>
      <x:name val="Carlito"/>
    </x:font>
    <x:font>
      <x:b/>
      <x:sz val="11"/>
      <x:color rgb="FF17324D"/>
      <x:name val="Carlito"/>
    </x:font>
    <x:font>
      <x:b/>
      <x:sz val="9"/>
      <x:color rgb="FF536274"/>
      <x:name val="Carlito"/>
    </x:font>
    <x:font>
      <x:b/>
      <x:sz val="22"/>
      <x:color rgb="FF0F766E"/>
      <x:name val="Carlito"/>
    </x:font>
    <x:font>
      <x:sz val="8"/>
      <x:color rgb="FF536274"/>
      <x:name val="Carlito"/>
    </x:font>
    <x:font>
      <x:b/>
      <x:sz val="10"/>
      <x:color rgb="FF0F766E"/>
      <x:name val="Carlito"/>
    </x:font>
    <x:font>
      <x:sz val="10"/>
      <x:color rgb="FF536274"/>
      <x:name val="Carlito"/>
    </x:font>
    <x:font>
      <x:i/>
      <x:sz val="9"/>
      <x:color rgb="FF536274"/>
      <x:name val="Carlito"/>
    </x:font>
    <x:font>
      <x:sz val="1"/>
      <x:color rgb="FFFFFFFF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0F766E"/>
      </x:patternFill>
    </x:fill>
    <x:fill>
      <x:patternFill patternType="solid">
        <x:fgColor rgb="FFF5F8FA"/>
      </x:patternFill>
    </x:fill>
    <x:fill>
      <x:patternFill patternType="solid">
        <x:fgColor rgb="FFFFFFFF"/>
      </x:patternFill>
    </x:fill>
    <x:fill>
      <x:patternFill patternType="solid">
        <x:fgColor rgb="FFDDF4EE"/>
      </x:patternFill>
    </x:fill>
    <x:fill>
      <x:patternFill patternType="solid">
        <x:fgColor rgb="FFEAF0F5"/>
      </x:patternFill>
    </x:fill>
  </x:fills>
  <x:borders count="10">
    <x:border/>
    <x:border>
      <x:left style="thin">
        <x:color rgb="FFD8E1E8"/>
      </x:left>
      <x:right style="thin">
        <x:color rgb="FFD8E1E8"/>
      </x:right>
      <x:top style="thin">
        <x:color rgb="FFD8E1E8"/>
      </x:top>
      <x:bottom style="thin">
        <x:color rgb="FFD8E1E8"/>
      </x:bottom>
    </x:border>
    <x:border>
      <x:left style="thin">
        <x:color rgb="FFD8E1E8"/>
      </x:left>
      <x:top style="thin">
        <x:color rgb="FFD8E1E8"/>
      </x:top>
    </x:border>
    <x:border>
      <x:top style="thin">
        <x:color rgb="FFD8E1E8"/>
      </x:top>
    </x:border>
    <x:border>
      <x:right style="thin">
        <x:color rgb="FFD8E1E8"/>
      </x:right>
      <x:top style="thin">
        <x:color rgb="FFD8E1E8"/>
      </x:top>
    </x:border>
    <x:border>
      <x:left style="thin">
        <x:color rgb="FFD8E1E8"/>
      </x:left>
    </x:border>
    <x:border>
      <x:right style="thin">
        <x:color rgb="FFD8E1E8"/>
      </x:right>
    </x:border>
    <x:border>
      <x:left style="thin">
        <x:color rgb="FFD8E1E8"/>
      </x:left>
      <x:bottom style="thin">
        <x:color rgb="FFD8E1E8"/>
      </x:bottom>
    </x:border>
    <x:border>
      <x:bottom style="thin">
        <x:color rgb="FFD8E1E8"/>
      </x:bottom>
    </x:border>
    <x:border>
      <x:right style="thin">
        <x:color rgb="FFD8E1E8"/>
      </x:right>
      <x:bottom style="thin">
        <x:color rgb="FFD8E1E8"/>
      </x:bottom>
    </x:border>
  </x:borders>
  <x:cellStyleXfs count="1">
    <x:xf numFmtId="0" fontId="0" fillId="0" borderId="0"/>
  </x:cellStyleXfs>
  <x:cellXfs count="1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200" fontId="0" fillId="0" borderId="0" xfId="0" applyNumberFormat="1" applyFont="1" applyFill="1" applyBorder="1"/>
    <x:xf numFmtId="0" fontId="2" fillId="3" borderId="1" xfId="0" applyNumberFormat="1" applyFont="1" applyFill="1" applyBorder="1"/>
    <x:xf numFmtId="0" fontId="0" fillId="0" borderId="1" xfId="0" applyNumberFormat="1" applyFont="1" applyFill="1" applyBorder="1"/>
    <x:xf numFmtId="200" fontId="0" fillId="0" borderId="1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</x:xf>
    <x:xf numFmtId="0" fontId="2" fillId="3" borderId="1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200" fontId="0" fillId="0" borderId="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horizontal="left"/>
    </x:xf>
    <x:xf numFmtId="0" fontId="0" fillId="0" borderId="0" xfId="0" applyNumberFormat="1" applyFont="1" applyFill="1" applyBorder="1" applyAlignment="1">
      <x:alignment horizontal="left" vertical="center"/>
    </x:xf>
    <x:xf numFmtId="0" fontId="0" fillId="2" borderId="0" xfId="0" applyNumberFormat="1" applyFont="1" applyFill="1" applyBorder="1" applyAlignment="1">
      <x:alignment horizontal="left" vertical="center"/>
    </x:xf>
    <x:xf numFmtId="0" fontId="3" fillId="2" borderId="0" xfId="0" applyNumberFormat="1" applyFont="1" applyFill="1" applyBorder="1" applyAlignment="1">
      <x:alignment horizontal="left" vertical="center"/>
    </x:xf>
    <x:xf numFmtId="0" fontId="4" fillId="2" borderId="0" xfId="0" applyNumberFormat="1" applyFont="1" applyFill="1" applyBorder="1" applyAlignment="1">
      <x:alignment horizontal="left" vertical="center"/>
    </x:xf>
    <x:xf numFmtId="0" fontId="5" fillId="0" borderId="0" xfId="0" applyNumberFormat="1" applyFont="1" applyFill="1" applyBorder="1" applyAlignment="1">
      <x:alignment horizontal="left" vertical="center"/>
    </x:xf>
    <x:xf numFmtId="0" fontId="0" fillId="4" borderId="0" xfId="0" applyNumberFormat="1" applyFont="1" applyFill="1" applyBorder="1"/>
    <x:xf numFmtId="0" fontId="0" fillId="4" borderId="2" xfId="0" applyNumberFormat="1" applyFont="1" applyFill="1" applyBorder="1"/>
    <x:xf numFmtId="0" fontId="0" fillId="4" borderId="3" xfId="0" applyNumberFormat="1" applyFont="1" applyFill="1" applyBorder="1"/>
    <x:xf numFmtId="0" fontId="0" fillId="4" borderId="4" xfId="0" applyNumberFormat="1" applyFont="1" applyFill="1" applyBorder="1"/>
    <x:xf numFmtId="0" fontId="0" fillId="4" borderId="5" xfId="0" applyNumberFormat="1" applyFont="1" applyFill="1" applyBorder="1"/>
    <x:xf numFmtId="0" fontId="0" fillId="4" borderId="6" xfId="0" applyNumberFormat="1" applyFont="1" applyFill="1" applyBorder="1"/>
    <x:xf numFmtId="0" fontId="0" fillId="4" borderId="7" xfId="0" applyNumberFormat="1" applyFont="1" applyFill="1" applyBorder="1"/>
    <x:xf numFmtId="0" fontId="0" fillId="4" borderId="8" xfId="0" applyNumberFormat="1" applyFont="1" applyFill="1" applyBorder="1"/>
    <x:xf numFmtId="0" fontId="0" fillId="4" borderId="9" xfId="0" applyNumberFormat="1" applyFont="1" applyFill="1" applyBorder="1"/>
    <x:xf numFmtId="0" fontId="0" fillId="4" borderId="2" xfId="0" applyNumberFormat="1" applyFont="1" applyFill="1" applyBorder="1" applyAlignment="1">
      <x:alignment horizontal="left"/>
    </x:xf>
    <x:xf numFmtId="0" fontId="0" fillId="4" borderId="3" xfId="0" applyNumberFormat="1" applyFont="1" applyFill="1" applyBorder="1" applyAlignment="1">
      <x:alignment horizontal="left"/>
    </x:xf>
    <x:xf numFmtId="0" fontId="0" fillId="4" borderId="4" xfId="0" applyNumberFormat="1" applyFont="1" applyFill="1" applyBorder="1" applyAlignment="1">
      <x:alignment horizontal="left"/>
    </x:xf>
    <x:xf numFmtId="0" fontId="0" fillId="4" borderId="2" xfId="0" applyNumberFormat="1" applyFont="1" applyFill="1" applyBorder="1" applyAlignment="1">
      <x:alignment horizontal="left" vertical="center"/>
    </x:xf>
    <x:xf numFmtId="0" fontId="0" fillId="4" borderId="3" xfId="0" applyNumberFormat="1" applyFont="1" applyFill="1" applyBorder="1" applyAlignment="1">
      <x:alignment horizontal="left" vertical="center"/>
    </x:xf>
    <x:xf numFmtId="0" fontId="0" fillId="4" borderId="4" xfId="0" applyNumberFormat="1" applyFont="1" applyFill="1" applyBorder="1" applyAlignment="1">
      <x:alignment horizontal="left" vertical="center"/>
    </x:xf>
    <x:xf numFmtId="0" fontId="6" fillId="4" borderId="2" xfId="0" applyNumberFormat="1" applyFont="1" applyFill="1" applyBorder="1" applyAlignment="1">
      <x:alignment horizontal="left" vertical="center"/>
    </x:xf>
    <x:xf numFmtId="0" fontId="6" fillId="4" borderId="3" xfId="0" applyNumberFormat="1" applyFont="1" applyFill="1" applyBorder="1" applyAlignment="1">
      <x:alignment horizontal="left" vertical="center"/>
    </x:xf>
    <x:xf numFmtId="0" fontId="6" fillId="4" borderId="4" xfId="0" applyNumberFormat="1" applyFont="1" applyFill="1" applyBorder="1" applyAlignment="1">
      <x:alignment horizontal="left" vertical="center"/>
    </x:xf>
    <x:xf numFmtId="0" fontId="0" fillId="4" borderId="5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 applyAlignment="1">
      <x:alignment horizontal="center"/>
    </x:xf>
    <x:xf numFmtId="0" fontId="0" fillId="4" borderId="6" xfId="0" applyNumberFormat="1" applyFont="1" applyFill="1" applyBorder="1" applyAlignment="1">
      <x:alignment horizontal="center"/>
    </x:xf>
    <x:xf numFmtId="0" fontId="0" fillId="4" borderId="5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 applyAlignment="1">
      <x:alignment horizontal="center" vertical="center"/>
    </x:xf>
    <x:xf numFmtId="0" fontId="0" fillId="4" borderId="6" xfId="0" applyNumberFormat="1" applyFont="1" applyFill="1" applyBorder="1" applyAlignment="1">
      <x:alignment horizontal="center" vertical="center"/>
    </x:xf>
    <x:xf numFmtId="0" fontId="7" fillId="4" borderId="5" xfId="0" applyNumberFormat="1" applyFont="1" applyFill="1" applyBorder="1" applyAlignment="1">
      <x:alignment horizontal="center" vertical="center"/>
    </x:xf>
    <x:xf numFmtId="0" fontId="7" fillId="4" borderId="0" xfId="0" applyNumberFormat="1" applyFont="1" applyFill="1" applyBorder="1" applyAlignment="1">
      <x:alignment horizontal="center" vertical="center"/>
    </x:xf>
    <x:xf numFmtId="0" fontId="7" fillId="4" borderId="6" xfId="0" applyNumberFormat="1" applyFont="1" applyFill="1" applyBorder="1" applyAlignment="1">
      <x:alignment horizontal="center" vertical="center"/>
    </x:xf>
    <x:xf numFmtId="200" fontId="7" fillId="4" borderId="5" xfId="0" applyNumberFormat="1" applyFont="1" applyFill="1" applyBorder="1" applyAlignment="1">
      <x:alignment horizontal="center" vertical="center"/>
    </x:xf>
    <x:xf numFmtId="0" fontId="0" fillId="4" borderId="7" xfId="0" applyNumberFormat="1" applyFont="1" applyFill="1" applyBorder="1" applyAlignment="1">
      <x:alignment horizontal="center"/>
    </x:xf>
    <x:xf numFmtId="0" fontId="0" fillId="4" borderId="8" xfId="0" applyNumberFormat="1" applyFont="1" applyFill="1" applyBorder="1" applyAlignment="1">
      <x:alignment horizontal="center"/>
    </x:xf>
    <x:xf numFmtId="0" fontId="0" fillId="4" borderId="9" xfId="0" applyNumberFormat="1" applyFont="1" applyFill="1" applyBorder="1" applyAlignment="1">
      <x:alignment horizontal="center"/>
    </x:xf>
    <x:xf numFmtId="0" fontId="0" fillId="4" borderId="7" xfId="0" applyNumberFormat="1" applyFont="1" applyFill="1" applyBorder="1" applyAlignment="1">
      <x:alignment horizontal="center" vertical="center"/>
    </x:xf>
    <x:xf numFmtId="0" fontId="0" fillId="4" borderId="8" xfId="0" applyNumberFormat="1" applyFont="1" applyFill="1" applyBorder="1" applyAlignment="1">
      <x:alignment horizontal="center" vertical="center"/>
    </x:xf>
    <x:xf numFmtId="0" fontId="0" fillId="4" borderId="9" xfId="0" applyNumberFormat="1" applyFont="1" applyFill="1" applyBorder="1" applyAlignment="1">
      <x:alignment horizontal="center" vertical="center"/>
    </x:xf>
    <x:xf numFmtId="0" fontId="8" fillId="4" borderId="7" xfId="0" applyNumberFormat="1" applyFont="1" applyFill="1" applyBorder="1" applyAlignment="1">
      <x:alignment horizontal="center" vertical="center"/>
    </x:xf>
    <x:xf numFmtId="0" fontId="8" fillId="4" borderId="8" xfId="0" applyNumberFormat="1" applyFont="1" applyFill="1" applyBorder="1" applyAlignment="1">
      <x:alignment horizontal="center" vertical="center"/>
    </x:xf>
    <x:xf numFmtId="0" fontId="8" fillId="4" borderId="9" xfId="0" applyNumberFormat="1" applyFont="1" applyFill="1" applyBorder="1" applyAlignment="1">
      <x:alignment horizontal="center" vertical="center"/>
    </x:xf>
    <x:xf numFmtId="0" fontId="8" fillId="4" borderId="7" xfId="0" applyNumberFormat="1" applyFont="1" applyFill="1" applyBorder="1" applyAlignment="1">
      <x:alignment horizontal="center" vertical="center" wrapText="1"/>
    </x:xf>
    <x:xf numFmtId="0" fontId="8" fillId="4" borderId="8" xfId="0" applyNumberFormat="1" applyFont="1" applyFill="1" applyBorder="1" applyAlignment="1">
      <x:alignment horizontal="center" vertical="center" wrapText="1"/>
    </x:xf>
    <x:xf numFmtId="0" fontId="8" fillId="4" borderId="9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0" fillId="5" borderId="2" xfId="0" applyNumberFormat="1" applyFont="1" applyFill="1" applyBorder="1"/>
    <x:xf numFmtId="0" fontId="0" fillId="5" borderId="3" xfId="0" applyNumberFormat="1" applyFont="1" applyFill="1" applyBorder="1"/>
    <x:xf numFmtId="0" fontId="0" fillId="5" borderId="4" xfId="0" applyNumberFormat="1" applyFont="1" applyFill="1" applyBorder="1"/>
    <x:xf numFmtId="0" fontId="0" fillId="5" borderId="5" xfId="0" applyNumberFormat="1" applyFont="1" applyFill="1" applyBorder="1"/>
    <x:xf numFmtId="0" fontId="0" fillId="5" borderId="6" xfId="0" applyNumberFormat="1" applyFont="1" applyFill="1" applyBorder="1"/>
    <x:xf numFmtId="0" fontId="0" fillId="5" borderId="7" xfId="0" applyNumberFormat="1" applyFont="1" applyFill="1" applyBorder="1"/>
    <x:xf numFmtId="0" fontId="0" fillId="5" borderId="8" xfId="0" applyNumberFormat="1" applyFont="1" applyFill="1" applyBorder="1"/>
    <x:xf numFmtId="0" fontId="0" fillId="5" borderId="9" xfId="0" applyNumberFormat="1" applyFont="1" applyFill="1" applyBorder="1"/>
    <x:xf numFmtId="0" fontId="0" fillId="5" borderId="2" xfId="0" applyNumberFormat="1" applyFont="1" applyFill="1" applyBorder="1" applyAlignment="1">
      <x:alignment horizontal="center"/>
    </x:xf>
    <x:xf numFmtId="0" fontId="0" fillId="5" borderId="3" xfId="0" applyNumberFormat="1" applyFont="1" applyFill="1" applyBorder="1" applyAlignment="1">
      <x:alignment horizontal="center"/>
    </x:xf>
    <x:xf numFmtId="0" fontId="0" fillId="5" borderId="4" xfId="0" applyNumberFormat="1" applyFont="1" applyFill="1" applyBorder="1" applyAlignment="1">
      <x:alignment horizontal="center"/>
    </x:xf>
    <x:xf numFmtId="0" fontId="0" fillId="5" borderId="2" xfId="0" applyNumberFormat="1" applyFont="1" applyFill="1" applyBorder="1" applyAlignment="1">
      <x:alignment horizontal="center" vertical="center"/>
    </x:xf>
    <x:xf numFmtId="0" fontId="0" fillId="5" borderId="3" xfId="0" applyNumberFormat="1" applyFont="1" applyFill="1" applyBorder="1" applyAlignment="1">
      <x:alignment horizontal="center" vertical="center"/>
    </x:xf>
    <x:xf numFmtId="0" fontId="0" fillId="5" borderId="4" xfId="0" applyNumberFormat="1" applyFont="1" applyFill="1" applyBorder="1" applyAlignment="1">
      <x:alignment horizontal="center" vertical="center"/>
    </x:xf>
    <x:xf numFmtId="0" fontId="0" fillId="6" borderId="2" xfId="0" applyNumberFormat="1" applyFont="1" applyFill="1" applyBorder="1" applyAlignment="1">
      <x:alignment horizontal="center" vertical="center"/>
    </x:xf>
    <x:xf numFmtId="0" fontId="0" fillId="6" borderId="3" xfId="0" applyNumberFormat="1" applyFont="1" applyFill="1" applyBorder="1" applyAlignment="1">
      <x:alignment horizontal="center" vertical="center"/>
    </x:xf>
    <x:xf numFmtId="0" fontId="0" fillId="6" borderId="4" xfId="0" applyNumberFormat="1" applyFont="1" applyFill="1" applyBorder="1" applyAlignment="1">
      <x:alignment horizontal="center" vertical="center"/>
    </x:xf>
    <x:xf numFmtId="0" fontId="9" fillId="6" borderId="2" xfId="0" applyNumberFormat="1" applyFont="1" applyFill="1" applyBorder="1" applyAlignment="1">
      <x:alignment horizontal="center" vertical="center"/>
    </x:xf>
    <x:xf numFmtId="0" fontId="9" fillId="6" borderId="3" xfId="0" applyNumberFormat="1" applyFont="1" applyFill="1" applyBorder="1" applyAlignment="1">
      <x:alignment horizontal="center" vertical="center"/>
    </x:xf>
    <x:xf numFmtId="0" fontId="9" fillId="6" borderId="4" xfId="0" applyNumberFormat="1" applyFont="1" applyFill="1" applyBorder="1" applyAlignment="1">
      <x:alignment horizontal="center" vertical="center"/>
    </x:xf>
    <x:xf numFmtId="0" fontId="0" fillId="5" borderId="5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 applyAlignment="1">
      <x:alignment horizontal="center"/>
    </x:xf>
    <x:xf numFmtId="0" fontId="0" fillId="5" borderId="6" xfId="0" applyNumberFormat="1" applyFont="1" applyFill="1" applyBorder="1" applyAlignment="1">
      <x:alignment horizontal="center"/>
    </x:xf>
    <x:xf numFmtId="0" fontId="0" fillId="5" borderId="7" xfId="0" applyNumberFormat="1" applyFont="1" applyFill="1" applyBorder="1" applyAlignment="1">
      <x:alignment horizontal="center"/>
    </x:xf>
    <x:xf numFmtId="0" fontId="0" fillId="5" borderId="8" xfId="0" applyNumberFormat="1" applyFont="1" applyFill="1" applyBorder="1" applyAlignment="1">
      <x:alignment horizontal="center"/>
    </x:xf>
    <x:xf numFmtId="0" fontId="0" fillId="5" borderId="9" xfId="0" applyNumberFormat="1" applyFont="1" applyFill="1" applyBorder="1" applyAlignment="1">
      <x:alignment horizontal="center"/>
    </x:xf>
    <x:xf numFmtId="0" fontId="0" fillId="5" borderId="5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 applyAlignment="1">
      <x:alignment horizontal="center" vertical="center"/>
    </x:xf>
    <x:xf numFmtId="0" fontId="0" fillId="5" borderId="6" xfId="0" applyNumberFormat="1" applyFont="1" applyFill="1" applyBorder="1" applyAlignment="1">
      <x:alignment horizontal="center" vertical="center"/>
    </x:xf>
    <x:xf numFmtId="0" fontId="0" fillId="5" borderId="7" xfId="0" applyNumberFormat="1" applyFont="1" applyFill="1" applyBorder="1" applyAlignment="1">
      <x:alignment horizontal="center" vertical="center"/>
    </x:xf>
    <x:xf numFmtId="0" fontId="0" fillId="5" borderId="8" xfId="0" applyNumberFormat="1" applyFont="1" applyFill="1" applyBorder="1" applyAlignment="1">
      <x:alignment horizontal="center" vertical="center"/>
    </x:xf>
    <x:xf numFmtId="0" fontId="0" fillId="5" borderId="9" xfId="0" applyNumberFormat="1" applyFont="1" applyFill="1" applyBorder="1" applyAlignment="1">
      <x:alignment horizontal="center" vertical="center"/>
    </x:xf>
    <x:xf numFmtId="0" fontId="10" fillId="5" borderId="5" xfId="0" applyNumberFormat="1" applyFont="1" applyFill="1" applyBorder="1" applyAlignment="1">
      <x:alignment horizontal="center" vertical="center"/>
    </x:xf>
    <x:xf numFmtId="0" fontId="10" fillId="5" borderId="0" xfId="0" applyNumberFormat="1" applyFont="1" applyFill="1" applyBorder="1" applyAlignment="1">
      <x:alignment horizontal="center" vertical="center"/>
    </x:xf>
    <x:xf numFmtId="0" fontId="10" fillId="5" borderId="6" xfId="0" applyNumberFormat="1" applyFont="1" applyFill="1" applyBorder="1" applyAlignment="1">
      <x:alignment horizontal="center" vertical="center"/>
    </x:xf>
    <x:xf numFmtId="0" fontId="10" fillId="5" borderId="7" xfId="0" applyNumberFormat="1" applyFont="1" applyFill="1" applyBorder="1" applyAlignment="1">
      <x:alignment horizontal="center" vertical="center"/>
    </x:xf>
    <x:xf numFmtId="0" fontId="10" fillId="5" borderId="8" xfId="0" applyNumberFormat="1" applyFont="1" applyFill="1" applyBorder="1" applyAlignment="1">
      <x:alignment horizontal="center" vertical="center"/>
    </x:xf>
    <x:xf numFmtId="0" fontId="10" fillId="5" borderId="9" xfId="0" applyNumberFormat="1" applyFont="1" applyFill="1" applyBorder="1" applyAlignment="1">
      <x:alignment horizontal="center" vertical="center"/>
    </x:xf>
    <x:xf numFmtId="0" fontId="10" fillId="5" borderId="5" xfId="0" applyNumberFormat="1" applyFont="1" applyFill="1" applyBorder="1" applyAlignment="1">
      <x:alignment horizontal="center" vertical="center" wrapText="1"/>
    </x:xf>
    <x:xf numFmtId="0" fontId="10" fillId="5" borderId="0" xfId="0" applyNumberFormat="1" applyFont="1" applyFill="1" applyBorder="1" applyAlignment="1">
      <x:alignment horizontal="center" vertical="center" wrapText="1"/>
    </x:xf>
    <x:xf numFmtId="0" fontId="10" fillId="5" borderId="6" xfId="0" applyNumberFormat="1" applyFont="1" applyFill="1" applyBorder="1" applyAlignment="1">
      <x:alignment horizontal="center" vertical="center" wrapText="1"/>
    </x:xf>
    <x:xf numFmtId="0" fontId="10" fillId="5" borderId="7" xfId="0" applyNumberFormat="1" applyFont="1" applyFill="1" applyBorder="1" applyAlignment="1">
      <x:alignment horizontal="center" vertical="center" wrapText="1"/>
    </x:xf>
    <x:xf numFmtId="0" fontId="10" fillId="5" borderId="8" xfId="0" applyNumberFormat="1" applyFont="1" applyFill="1" applyBorder="1" applyAlignment="1">
      <x:alignment horizontal="center" vertical="center" wrapText="1"/>
    </x:xf>
    <x:xf numFmtId="0" fontId="10" fillId="5" borderId="9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 applyAlignment="1">
      <x:alignment horizontal="center" vertical="center"/>
    </x:xf>
    <x:xf numFmtId="0" fontId="11" fillId="7" borderId="0" xfId="0" applyNumberFormat="1" applyFont="1" applyFill="1" applyBorder="1" applyAlignment="1">
      <x:alignment horizontal="center" vertical="center"/>
    </x:xf>
    <x:xf numFmtId="0" fontId="11" fillId="7" borderId="0" xfId="0" applyNumberFormat="1" applyFont="1" applyFill="1" applyBorder="1" applyAlignment="1">
      <x:alignment horizontal="center" vertical="center" wrapText="1"/>
    </x:xf>
    <x:xf numFmtId="0" fontId="12" fillId="0" borderId="0" xfId="0" applyNumberFormat="1" applyFont="1" applyFill="1" applyBorder="1"/>
    <x:xf numFmtId="200" fontId="12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0b91fe268064e62" /><Relationship Type="http://schemas.openxmlformats.org/officeDocument/2006/relationships/theme" Target="/xl/theme/theme1.xml" Id="R654d9166abd44d51" /><Relationship Type="http://schemas.openxmlformats.org/officeDocument/2006/relationships/sharedStrings" Target="/xl/sharedStrings.xml" Id="Rd42054f5860c4036" /><Relationship Type="http://schemas.openxmlformats.org/officeDocument/2006/relationships/worksheet" Target="/xl/worksheets/sheet1.xml" Id="R7be34bd2ff104df4" /><Relationship Type="http://schemas.openxmlformats.org/officeDocument/2006/relationships/worksheet" Target="/xl/worksheets/sheet2.xml" Id="R5f8a07b182b24af0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bdcfd4429aba49ef" /><Relationship Type="http://schemas.openxmlformats.org/officeDocument/2006/relationships/chart" Target="/xl/drawings/charts/chart2.xml" Id="R1996f2ef63354266" /><Relationship Type="http://schemas.openxmlformats.org/officeDocument/2006/relationships/chart" Target="/xl/drawings/charts/chart3.xml" Id="R46e71293351c432a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Customer Experience Rating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Share</c:v>
          </c:tx>
          <c:cat>
            <c:strRef>
              <c:f>'KPI Dashboard'!$P$3:$P$7</c:f>
              <c:strCache>
                <c:ptCount val="0"/>
              </c:strCache>
            </c:strRef>
          </c:cat>
          <c:val>
            <c:numRef>
              <c:f>'KPI Dashboard'!$Q$3:$Q$7</c:f>
              <c:numCache>
                <c:formatCode>0%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  <c:max val="0.5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Tablet Adoption</a:t>
            </a:r>
          </a:p>
        </c:rich>
      </c:tx>
      <c:overlay val="0"/>
    </c:title>
    <c:plotArea>
      <c:doughnutChart>
        <c:ser>
          <c:idx val="0"/>
          <c:order val="0"/>
          <c:tx>
            <c:v>Share</c:v>
          </c:tx>
          <c:cat>
            <c:strRef>
              <c:f>'KPI Dashboard'!$S$3:$S$4</c:f>
              <c:strCache>
                <c:ptCount val="0"/>
              </c:strCache>
            </c:strRef>
          </c:cat>
          <c:val>
            <c:numRef>
              <c:f>'KPI Dashboard'!$T$3:$T$4</c:f>
              <c:numCache>
                <c:formatCode>0%</c:formatCode>
                <c:ptCount val="0"/>
              </c:numCache>
            </c:numRef>
          </c:val>
        </c:ser>
      </c:doughnutChart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Menu Category Participation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Participation</c:v>
          </c:tx>
          <c:cat>
            <c:strRef>
              <c:f>'KPI Dashboard'!$V$3:$V$6</c:f>
              <c:strCache>
                <c:ptCount val="0"/>
              </c:strCache>
            </c:strRef>
          </c:cat>
          <c:val>
            <c:numRef>
              <c:f>'KPI Dashboard'!$W$3:$W$6</c:f>
              <c:numCache>
                <c:formatCode>0%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  <c:max val="1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12</xdr:row>
      <xdr:rowOff>0</xdr:rowOff>
    </xdr:from>
    <xdr:to>
      <xdr:col>5</xdr:col>
      <xdr:colOff>0</xdr:colOff>
      <xdr:row>27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dcfd4429aba49ef"/>
        </a:graphicData>
      </a:graphic>
    </xdr:graphicFrame>
    <xdr:clientData/>
  </xdr:twoCellAnchor>
  <xdr:twoCellAnchor>
    <xdr:from>
      <xdr:col>5</xdr:col>
      <xdr:colOff>0</xdr:colOff>
      <xdr:row>12</xdr:row>
      <xdr:rowOff>0</xdr:rowOff>
    </xdr:from>
    <xdr:to>
      <xdr:col>9</xdr:col>
      <xdr:colOff>0</xdr:colOff>
      <xdr:row>27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996f2ef63354266"/>
        </a:graphicData>
      </a:graphic>
    </xdr:graphicFrame>
    <xdr:clientData/>
  </xdr:twoCellAnchor>
  <xdr:twoCellAnchor>
    <xdr:from>
      <xdr:col>9</xdr:col>
      <xdr:colOff>0</xdr:colOff>
      <xdr:row>12</xdr:row>
      <xdr:rowOff>0</xdr:rowOff>
    </xdr:from>
    <xdr:to>
      <xdr:col>14</xdr:col>
      <xdr:colOff>0</xdr:colOff>
      <xdr:row>27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6e71293351c432a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0ff0b292c7c14f3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</x:cols>
  <x:sheetData>
    <x:row r="1" ht="12" customHeight="1"/>
    <x:row r="2" ht="23" customHeight="1">
      <x:c r="A2" s="17" t="str">
        <x:v>SAUCE &amp; SPOON</x:v>
      </x:c>
      <x:c r="B2" s="17" t="str">
        <x:v>SAUCE &amp; SPOON</x:v>
      </x:c>
      <x:c r="C2" s="17" t="str">
        <x:v>SAUCE &amp; SPOON</x:v>
      </x:c>
      <x:c r="D2" s="17" t="str">
        <x:v>SAUCE &amp; SPOON</x:v>
      </x:c>
      <x:c r="E2" s="17" t="str">
        <x:v>SAUCE &amp; SPOON</x:v>
      </x:c>
      <x:c r="F2" s="17" t="str">
        <x:v>SAUCE &amp; SPOON</x:v>
      </x:c>
      <x:c r="G2" s="17" t="str">
        <x:v>SAUCE &amp; SPOON</x:v>
      </x:c>
      <x:c r="H2" s="17" t="str">
        <x:v>SAUCE &amp; SPOON</x:v>
      </x:c>
      <x:c r="I2" s="17" t="str">
        <x:v>SAUCE &amp; SPOON</x:v>
      </x:c>
      <x:c r="J2" s="17" t="str">
        <x:v>SAUCE &amp; SPOON</x:v>
      </x:c>
      <x:c r="K2" s="17" t="str">
        <x:v>SAUCE &amp; SPOON</x:v>
      </x:c>
      <x:c r="L2" s="17" t="str">
        <x:v>SAUCE &amp; SPOON</x:v>
      </x:c>
      <x:c r="M2" s="17" t="str">
        <x:v>SAUCE &amp; SPOON</x:v>
      </x:c>
      <x:c r="N2" s="17" t="str">
        <x:v>SAUCE &amp; SPOON</x:v>
      </x:c>
      <x:c r="P2" s="110" t="str">
        <x:v>Rating</x:v>
      </x:c>
      <x:c r="Q2" s="110" t="str">
        <x:v>Share</x:v>
      </x:c>
      <x:c r="R2" s="110"/>
      <x:c r="S2" s="110" t="str">
        <x:v>Tablet usage</x:v>
      </x:c>
      <x:c r="T2" s="110" t="str">
        <x:v>Share</x:v>
      </x:c>
      <x:c r="U2" s="110"/>
      <x:c r="V2" s="110" t="str">
        <x:v>Menu category</x:v>
      </x:c>
      <x:c r="W2" s="110" t="str">
        <x:v>Participation</x:v>
      </x:c>
    </x:row>
    <x:row r="3" ht="23" customHeight="1">
      <x:c r="A3" s="17" t="str">
        <x:v>SAUCE &amp; SPOON</x:v>
      </x:c>
      <x:c r="B3" s="17" t="str">
        <x:v>SAUCE &amp; SPOON</x:v>
      </x:c>
      <x:c r="C3" s="17" t="str">
        <x:v>SAUCE &amp; SPOON</x:v>
      </x:c>
      <x:c r="D3" s="17" t="str">
        <x:v>SAUCE &amp; SPOON</x:v>
      </x:c>
      <x:c r="E3" s="17" t="str">
        <x:v>SAUCE &amp; SPOON</x:v>
      </x:c>
      <x:c r="F3" s="17" t="str">
        <x:v>SAUCE &amp; SPOON</x:v>
      </x:c>
      <x:c r="G3" s="17" t="str">
        <x:v>SAUCE &amp; SPOON</x:v>
      </x:c>
      <x:c r="H3" s="17" t="str">
        <x:v>SAUCE &amp; SPOON</x:v>
      </x:c>
      <x:c r="I3" s="17" t="str">
        <x:v>SAUCE &amp; SPOON</x:v>
      </x:c>
      <x:c r="J3" s="17" t="str">
        <x:v>SAUCE &amp; SPOON</x:v>
      </x:c>
      <x:c r="K3" s="17" t="str">
        <x:v>SAUCE &amp; SPOON</x:v>
      </x:c>
      <x:c r="L3" s="17" t="str">
        <x:v>SAUCE &amp; SPOON</x:v>
      </x:c>
      <x:c r="M3" s="17" t="str">
        <x:v>SAUCE &amp; SPOON</x:v>
      </x:c>
      <x:c r="N3" s="17" t="str">
        <x:v>SAUCE &amp; SPOON</x:v>
      </x:c>
      <x:c r="P3" s="110" t="str">
        <x:v>1 — Lacking</x:v>
      </x:c>
      <x:c r="Q3" s="111" t="n">
        <x:f>'Launch Data'!C12</x:f>
        <x:v>0.04</x:v>
      </x:c>
      <x:c r="R3" s="110"/>
      <x:c r="S3" s="110" t="str">
        <x:v>Used tablets</x:v>
      </x:c>
      <x:c r="T3" s="111" t="n">
        <x:f>'Launch Data'!B5</x:f>
        <x:v>0.36</x:v>
      </x:c>
      <x:c r="U3" s="110"/>
      <x:c r="V3" s="110" t="str">
        <x:v>Drinks</x:v>
      </x:c>
      <x:c r="W3" s="111" t="n">
        <x:f>'Launch Data'!G4</x:f>
        <x:v>0.56</x:v>
      </x:c>
    </x:row>
    <x:row r="4" ht="23" customHeight="1">
      <x:c r="A4" s="18" t="str">
        <x:v>Tablet Launch KPI Dashboard  |  Test launch results from 50 customers</x:v>
      </x:c>
      <x:c r="B4" s="18" t="str">
        <x:v>Tablet Launch KPI Dashboard  |  Test launch results from 50 customers</x:v>
      </x:c>
      <x:c r="C4" s="18" t="str">
        <x:v>Tablet Launch KPI Dashboard  |  Test launch results from 50 customers</x:v>
      </x:c>
      <x:c r="D4" s="18" t="str">
        <x:v>Tablet Launch KPI Dashboard  |  Test launch results from 50 customers</x:v>
      </x:c>
      <x:c r="E4" s="18" t="str">
        <x:v>Tablet Launch KPI Dashboard  |  Test launch results from 50 customers</x:v>
      </x:c>
      <x:c r="F4" s="18" t="str">
        <x:v>Tablet Launch KPI Dashboard  |  Test launch results from 50 customers</x:v>
      </x:c>
      <x:c r="G4" s="18" t="str">
        <x:v>Tablet Launch KPI Dashboard  |  Test launch results from 50 customers</x:v>
      </x:c>
      <x:c r="H4" s="18" t="str">
        <x:v>Tablet Launch KPI Dashboard  |  Test launch results from 50 customers</x:v>
      </x:c>
      <x:c r="I4" s="18" t="str">
        <x:v>Tablet Launch KPI Dashboard  |  Test launch results from 50 customers</x:v>
      </x:c>
      <x:c r="J4" s="18" t="str">
        <x:v>Tablet Launch KPI Dashboard  |  Test launch results from 50 customers</x:v>
      </x:c>
      <x:c r="K4" s="18" t="str">
        <x:v>Tablet Launch KPI Dashboard  |  Test launch results from 50 customers</x:v>
      </x:c>
      <x:c r="L4" s="18" t="str">
        <x:v>Tablet Launch KPI Dashboard  |  Test launch results from 50 customers</x:v>
      </x:c>
      <x:c r="M4" s="18" t="str">
        <x:v>Tablet Launch KPI Dashboard  |  Test launch results from 50 customers</x:v>
      </x:c>
      <x:c r="N4" s="18" t="str">
        <x:v>Tablet Launch KPI Dashboard  |  Test launch results from 50 customers</x:v>
      </x:c>
      <x:c r="P4" s="110" t="str">
        <x:v>2 — Mediocre</x:v>
      </x:c>
      <x:c r="Q4" s="111" t="n">
        <x:f>'Launch Data'!C13</x:f>
        <x:v>0.1</x:v>
      </x:c>
      <x:c r="R4" s="110"/>
      <x:c r="S4" s="110" t="str">
        <x:v>Did not use tablets</x:v>
      </x:c>
      <x:c r="T4" s="111" t="n">
        <x:f>1-T3</x:f>
        <x:v>0.64</x:v>
      </x:c>
      <x:c r="U4" s="110"/>
      <x:c r="V4" s="110" t="str">
        <x:v>Appetizers</x:v>
      </x:c>
      <x:c r="W4" s="111" t="n">
        <x:f>'Launch Data'!G5</x:f>
        <x:v>0.82</x:v>
      </x:c>
    </x:row>
    <x:row r="5">
      <x:c r="P5" s="110" t="str">
        <x:v>3 — Neutral</x:v>
      </x:c>
      <x:c r="Q5" s="111" t="n">
        <x:f>'Launch Data'!C14</x:f>
        <x:v>0.14</x:v>
      </x:c>
      <x:c r="R5" s="110"/>
      <x:c r="S5" s="110"/>
      <x:c r="T5" s="110"/>
      <x:c r="U5" s="110"/>
      <x:c r="V5" s="110" t="str">
        <x:v>Dinner</x:v>
      </x:c>
      <x:c r="W5" s="111" t="n">
        <x:f>'Launch Data'!G6</x:f>
        <x:v>1</x:v>
      </x:c>
    </x:row>
    <x:row r="6">
      <x:c r="A6" s="19" t="str">
        <x:v>ACTUAL RESULTS</x:v>
      </x:c>
      <x:c r="B6" s="19" t="str">
        <x:v>ACTUAL RESULTS</x:v>
      </x:c>
      <x:c r="C6" s="19" t="str">
        <x:v>ACTUAL RESULTS</x:v>
      </x:c>
      <x:c r="D6" s="19" t="str">
        <x:v>ACTUAL RESULTS</x:v>
      </x:c>
      <x:c r="E6" s="19" t="str">
        <x:v>ACTUAL RESULTS</x:v>
      </x:c>
      <x:c r="F6" s="19" t="str">
        <x:v>ACTUAL RESULTS</x:v>
      </x:c>
      <x:c r="G6" s="19" t="str">
        <x:v>ACTUAL RESULTS</x:v>
      </x:c>
      <x:c r="H6" s="19" t="str">
        <x:v>ACTUAL RESULTS</x:v>
      </x:c>
      <x:c r="I6" s="19" t="str">
        <x:v>ACTUAL RESULTS</x:v>
      </x:c>
      <x:c r="J6" s="19" t="str">
        <x:v>ACTUAL RESULTS</x:v>
      </x:c>
      <x:c r="K6" s="19" t="str">
        <x:v>ACTUAL RESULTS</x:v>
      </x:c>
      <x:c r="L6" s="19" t="str">
        <x:v>ACTUAL RESULTS</x:v>
      </x:c>
      <x:c r="M6" s="19" t="str">
        <x:v>ACTUAL RESULTS</x:v>
      </x:c>
      <x:c r="N6" s="19" t="str">
        <x:v>ACTUAL RESULTS</x:v>
      </x:c>
      <x:c r="P6" s="110" t="str">
        <x:v>4 — Good</x:v>
      </x:c>
      <x:c r="Q6" s="111" t="n">
        <x:f>'Launch Data'!C15</x:f>
        <x:v>0.4</x:v>
      </x:c>
      <x:c r="R6" s="110"/>
      <x:c r="S6" s="110"/>
      <x:c r="T6" s="110"/>
      <x:c r="U6" s="110"/>
      <x:c r="V6" s="110" t="str">
        <x:v>Dessert</x:v>
      </x:c>
      <x:c r="W6" s="111" t="n">
        <x:f>'Launch Data'!G7</x:f>
        <x:v>0.7</x:v>
      </x:c>
    </x:row>
    <x:row r="7" ht="21" customHeight="1">
      <x:c r="A7" s="35" t="str">
        <x:v>ORDER ACCURACY</x:v>
      </x:c>
      <x:c r="B7" s="36" t="str">
        <x:v>ORDER ACCURACY</x:v>
      </x:c>
      <x:c r="C7" s="37" t="str">
        <x:v>ORDER ACCURACY</x:v>
      </x:c>
      <x:c r="D7" s="35" t="str">
        <x:v>GOOD / GREAT EXPERIENCE</x:v>
      </x:c>
      <x:c r="E7" s="36" t="str">
        <x:v>GOOD / GREAT EXPERIENCE</x:v>
      </x:c>
      <x:c r="F7" s="37" t="str">
        <x:v>GOOD / GREAT EXPERIENCE</x:v>
      </x:c>
      <x:c r="G7" s="35" t="str">
        <x:v>NEWSLETTER SIGN-UP</x:v>
      </x:c>
      <x:c r="H7" s="36" t="str">
        <x:v>NEWSLETTER SIGN-UP</x:v>
      </x:c>
      <x:c r="I7" s="37" t="str">
        <x:v>NEWSLETTER SIGN-UP</x:v>
      </x:c>
      <x:c r="J7" s="35" t="str">
        <x:v>TABLET ADOPTION</x:v>
      </x:c>
      <x:c r="K7" s="36" t="str">
        <x:v>TABLET ADOPTION</x:v>
      </x:c>
      <x:c r="L7" s="37" t="str">
        <x:v>TABLET ADOPTION</x:v>
      </x:c>
      <x:c r="M7" s="35" t="str">
        <x:v>TECHNICAL ISSUES</x:v>
      </x:c>
      <x:c r="N7" s="37" t="str">
        <x:v>TECHNICAL ISSUES</x:v>
      </x:c>
      <x:c r="P7" s="110" t="str">
        <x:v>5 — Great</x:v>
      </x:c>
      <x:c r="Q7" s="111" t="n">
        <x:f>'Launch Data'!C16</x:f>
        <x:v>0.32</x:v>
      </x:c>
      <x:c r="R7" s="110"/>
      <x:c r="S7" s="110"/>
      <x:c r="T7" s="110"/>
      <x:c r="U7" s="110"/>
      <x:c r="V7" s="110"/>
      <x:c r="W7" s="110"/>
    </x:row>
    <x:row r="8" ht="21" customHeight="1">
      <x:c r="A8" s="47" t="n">
        <x:f>'Launch Data'!B8</x:f>
        <x:v>0.72</x:v>
      </x:c>
      <x:c r="B8" s="45" t="str"/>
      <x:c r="C8" s="46" t="str"/>
      <x:c r="D8" s="47" t="n">
        <x:f>SUM('Launch Data'!C15:C16)</x:f>
        <x:v>0.72</x:v>
      </x:c>
      <x:c r="E8" s="45" t="str"/>
      <x:c r="F8" s="46" t="str"/>
      <x:c r="G8" s="47" t="n">
        <x:f>'Launch Data'!B6</x:f>
        <x:v>0.78</x:v>
      </x:c>
      <x:c r="H8" s="45" t="str"/>
      <x:c r="I8" s="46" t="str"/>
      <x:c r="J8" s="47" t="n">
        <x:f>'Launch Data'!B5</x:f>
        <x:v>0.36</x:v>
      </x:c>
      <x:c r="K8" s="45" t="str"/>
      <x:c r="L8" s="46" t="str"/>
      <x:c r="M8" s="47" t="n">
        <x:f>'Launch Data'!B7</x:f>
        <x:v>0.12</x:v>
      </x:c>
      <x:c r="N8" s="46" t="str"/>
    </x:row>
    <x:row r="9" ht="21" customHeight="1">
      <x:c r="A9" s="44" t="str"/>
      <x:c r="B9" s="45" t="str"/>
      <x:c r="C9" s="46" t="str"/>
      <x:c r="D9" s="44" t="str"/>
      <x:c r="E9" s="45" t="str"/>
      <x:c r="F9" s="46" t="str"/>
      <x:c r="G9" s="44" t="str"/>
      <x:c r="H9" s="45" t="str"/>
      <x:c r="I9" s="46" t="str"/>
      <x:c r="J9" s="44" t="str"/>
      <x:c r="K9" s="45" t="str"/>
      <x:c r="L9" s="46" t="str"/>
      <x:c r="M9" s="44" t="str"/>
      <x:c r="N9" s="46" t="str"/>
    </x:row>
    <x:row r="10" ht="21" customHeight="1">
      <x:c r="A10" s="57" t="str">
        <x:v>72% of customers reported correct orders</x:v>
      </x:c>
      <x:c r="B10" s="58" t="str">
        <x:v>72% of customers reported correct orders</x:v>
      </x:c>
      <x:c r="C10" s="59" t="str">
        <x:v>72% of customers reported correct orders</x:v>
      </x:c>
      <x:c r="D10" s="57" t="str">
        <x:v>36 of 50 customers rated the experience positively</x:v>
      </x:c>
      <x:c r="E10" s="58" t="str">
        <x:v>36 of 50 customers rated the experience positively</x:v>
      </x:c>
      <x:c r="F10" s="59" t="str">
        <x:v>36 of 50 customers rated the experience positively</x:v>
      </x:c>
      <x:c r="G10" s="57" t="str">
        <x:v>39 of 50 customers signed up</x:v>
      </x:c>
      <x:c r="H10" s="58" t="str">
        <x:v>39 of 50 customers signed up</x:v>
      </x:c>
      <x:c r="I10" s="59" t="str">
        <x:v>39 of 50 customers signed up</x:v>
      </x:c>
      <x:c r="J10" s="57" t="str">
        <x:v>18 of 50 customers used tablets</x:v>
      </x:c>
      <x:c r="K10" s="58" t="str">
        <x:v>18 of 50 customers used tablets</x:v>
      </x:c>
      <x:c r="L10" s="59" t="str">
        <x:v>18 of 50 customers used tablets</x:v>
      </x:c>
      <x:c r="M10" s="57" t="str">
        <x:v>6 of 50 customers experienced issues</x:v>
      </x:c>
      <x:c r="N10" s="59" t="str">
        <x:v>6 of 50 customers experienced issues</x:v>
      </x:c>
    </x:row>
    <x:row r="12">
      <x:c r="A12" s="19" t="str">
        <x:v>PERFORMANCE VISUALS</x:v>
      </x:c>
      <x:c r="B12" s="19" t="str">
        <x:v>PERFORMANCE VISUALS</x:v>
      </x:c>
      <x:c r="C12" s="19" t="str">
        <x:v>PERFORMANCE VISUALS</x:v>
      </x:c>
      <x:c r="D12" s="19" t="str">
        <x:v>PERFORMANCE VISUALS</x:v>
      </x:c>
      <x:c r="E12" s="19" t="str">
        <x:v>PERFORMANCE VISUALS</x:v>
      </x:c>
      <x:c r="F12" s="19" t="str">
        <x:v>PERFORMANCE VISUALS</x:v>
      </x:c>
      <x:c r="G12" s="19" t="str">
        <x:v>PERFORMANCE VISUALS</x:v>
      </x:c>
      <x:c r="H12" s="19" t="str">
        <x:v>PERFORMANCE VISUALS</x:v>
      </x:c>
      <x:c r="I12" s="19" t="str">
        <x:v>PERFORMANCE VISUALS</x:v>
      </x:c>
      <x:c r="J12" s="19" t="str">
        <x:v>PERFORMANCE VISUALS</x:v>
      </x:c>
      <x:c r="K12" s="19" t="str">
        <x:v>PERFORMANCE VISUALS</x:v>
      </x:c>
      <x:c r="L12" s="19" t="str">
        <x:v>PERFORMANCE VISUALS</x:v>
      </x:c>
      <x:c r="M12" s="19" t="str">
        <x:v>PERFORMANCE VISUALS</x:v>
      </x:c>
      <x:c r="N12" s="19" t="str">
        <x:v>PERFORMANCE VISUALS</x:v>
      </x:c>
    </x:row>
    <x:row r="29">
      <x:c r="A29" s="19" t="str">
        <x:v>KEY PROJECT INSIGHTS</x:v>
      </x:c>
      <x:c r="B29" s="19" t="str">
        <x:v>KEY PROJECT INSIGHTS</x:v>
      </x:c>
      <x:c r="C29" s="19" t="str">
        <x:v>KEY PROJECT INSIGHTS</x:v>
      </x:c>
      <x:c r="D29" s="19" t="str">
        <x:v>KEY PROJECT INSIGHTS</x:v>
      </x:c>
      <x:c r="E29" s="19" t="str">
        <x:v>KEY PROJECT INSIGHTS</x:v>
      </x:c>
      <x:c r="F29" s="19" t="str">
        <x:v>KEY PROJECT INSIGHTS</x:v>
      </x:c>
      <x:c r="G29" s="19" t="str">
        <x:v>KEY PROJECT INSIGHTS</x:v>
      </x:c>
      <x:c r="H29" s="19" t="str">
        <x:v>KEY PROJECT INSIGHTS</x:v>
      </x:c>
      <x:c r="I29" s="19" t="str">
        <x:v>KEY PROJECT INSIGHTS</x:v>
      </x:c>
      <x:c r="J29" s="19" t="str">
        <x:v>KEY PROJECT INSIGHTS</x:v>
      </x:c>
      <x:c r="K29" s="19" t="str">
        <x:v>KEY PROJECT INSIGHTS</x:v>
      </x:c>
      <x:c r="L29" s="19" t="str">
        <x:v>KEY PROJECT INSIGHTS</x:v>
      </x:c>
      <x:c r="M29" s="19" t="str">
        <x:v>KEY PROJECT INSIGHTS</x:v>
      </x:c>
      <x:c r="N29" s="19" t="str">
        <x:v>KEY PROJECT INSIGHTS</x:v>
      </x:c>
    </x:row>
    <x:row r="30" ht="20" customHeight="1">
      <x:c r="A30" s="78" t="str">
        <x:v>Customer experience</x:v>
      </x:c>
      <x:c r="B30" s="79" t="str">
        <x:v>Customer experience</x:v>
      </x:c>
      <x:c r="C30" s="79" t="str">
        <x:v>Customer experience</x:v>
      </x:c>
      <x:c r="D30" s="80" t="str">
        <x:v>Customer experience</x:v>
      </x:c>
      <x:c r="E30" s="78" t="str">
        <x:v>Adoption gap</x:v>
      </x:c>
      <x:c r="F30" s="79" t="str">
        <x:v>Adoption gap</x:v>
      </x:c>
      <x:c r="G30" s="79" t="str">
        <x:v>Adoption gap</x:v>
      </x:c>
      <x:c r="H30" s="80" t="str">
        <x:v>Adoption gap</x:v>
      </x:c>
      <x:c r="I30" s="78" t="str">
        <x:v>Operational stability</x:v>
      </x:c>
      <x:c r="J30" s="79" t="str">
        <x:v>Operational stability</x:v>
      </x:c>
      <x:c r="K30" s="80" t="str">
        <x:v>Operational stability</x:v>
      </x:c>
      <x:c r="L30" s="78" t="str">
        <x:v>Ordering pattern</x:v>
      </x:c>
      <x:c r="M30" s="79" t="str">
        <x:v>Ordering pattern</x:v>
      </x:c>
      <x:c r="N30" s="80" t="str">
        <x:v>Ordering pattern</x:v>
      </x:c>
    </x:row>
    <x:row r="31" ht="20" customHeight="1">
      <x:c r="A31" s="99" t="str">
        <x:v>72% rated the experience Good or Great; 32% rated it Great.</x:v>
      </x:c>
      <x:c r="B31" s="100" t="str">
        <x:v>72% rated the experience Good or Great; 32% rated it Great.</x:v>
      </x:c>
      <x:c r="C31" s="100" t="str">
        <x:v>72% rated the experience Good or Great; 32% rated it Great.</x:v>
      </x:c>
      <x:c r="D31" s="101" t="str">
        <x:v>72% rated the experience Good or Great; 32% rated it Great.</x:v>
      </x:c>
      <x:c r="E31" s="99" t="str">
        <x:v>Tablet usage reached 36%, so most customers did not use the tablets.</x:v>
      </x:c>
      <x:c r="F31" s="100" t="str">
        <x:v>Tablet usage reached 36%, so most customers did not use the tablets.</x:v>
      </x:c>
      <x:c r="G31" s="100" t="str">
        <x:v>Tablet usage reached 36%, so most customers did not use the tablets.</x:v>
      </x:c>
      <x:c r="H31" s="101" t="str">
        <x:v>Tablet usage reached 36%, so most customers did not use the tablets.</x:v>
      </x:c>
      <x:c r="I31" s="99" t="str">
        <x:v>Table-turn time stayed the same during the test launch.</x:v>
      </x:c>
      <x:c r="J31" s="100" t="str">
        <x:v>Table-turn time stayed the same during the test launch.</x:v>
      </x:c>
      <x:c r="K31" s="101" t="str">
        <x:v>Table-turn time stayed the same during the test launch.</x:v>
      </x:c>
      <x:c r="L31" s="99" t="str">
        <x:v>Dinner participation was 100%; drink participation was lowest at 56%.</x:v>
      </x:c>
      <x:c r="M31" s="100" t="str">
        <x:v>Dinner participation was 100%; drink participation was lowest at 56%.</x:v>
      </x:c>
      <x:c r="N31" s="101" t="str">
        <x:v>Dinner participation was 100%; drink participation was lowest at 56%.</x:v>
      </x:c>
    </x:row>
    <x:row r="32" ht="20" customHeight="1">
      <x:c r="A32" s="99" t="str">
        <x:v>72% rated the experience Good or Great; 32% rated it Great.</x:v>
      </x:c>
      <x:c r="B32" s="100" t="str">
        <x:v>72% rated the experience Good or Great; 32% rated it Great.</x:v>
      </x:c>
      <x:c r="C32" s="100" t="str">
        <x:v>72% rated the experience Good or Great; 32% rated it Great.</x:v>
      </x:c>
      <x:c r="D32" s="101" t="str">
        <x:v>72% rated the experience Good or Great; 32% rated it Great.</x:v>
      </x:c>
      <x:c r="E32" s="99" t="str">
        <x:v>Tablet usage reached 36%, so most customers did not use the tablets.</x:v>
      </x:c>
      <x:c r="F32" s="100" t="str">
        <x:v>Tablet usage reached 36%, so most customers did not use the tablets.</x:v>
      </x:c>
      <x:c r="G32" s="100" t="str">
        <x:v>Tablet usage reached 36%, so most customers did not use the tablets.</x:v>
      </x:c>
      <x:c r="H32" s="101" t="str">
        <x:v>Tablet usage reached 36%, so most customers did not use the tablets.</x:v>
      </x:c>
      <x:c r="I32" s="99" t="str">
        <x:v>Table-turn time stayed the same during the test launch.</x:v>
      </x:c>
      <x:c r="J32" s="100" t="str">
        <x:v>Table-turn time stayed the same during the test launch.</x:v>
      </x:c>
      <x:c r="K32" s="101" t="str">
        <x:v>Table-turn time stayed the same during the test launch.</x:v>
      </x:c>
      <x:c r="L32" s="99" t="str">
        <x:v>Dinner participation was 100%; drink participation was lowest at 56%.</x:v>
      </x:c>
      <x:c r="M32" s="100" t="str">
        <x:v>Dinner participation was 100%; drink participation was lowest at 56%.</x:v>
      </x:c>
      <x:c r="N32" s="101" t="str">
        <x:v>Dinner participation was 100%; drink participation was lowest at 56%.</x:v>
      </x:c>
    </x:row>
    <x:row r="33" ht="20" customHeight="1">
      <x:c r="A33" s="99" t="str">
        <x:v>72% rated the experience Good or Great; 32% rated it Great.</x:v>
      </x:c>
      <x:c r="B33" s="100" t="str">
        <x:v>72% rated the experience Good or Great; 32% rated it Great.</x:v>
      </x:c>
      <x:c r="C33" s="100" t="str">
        <x:v>72% rated the experience Good or Great; 32% rated it Great.</x:v>
      </x:c>
      <x:c r="D33" s="101" t="str">
        <x:v>72% rated the experience Good or Great; 32% rated it Great.</x:v>
      </x:c>
      <x:c r="E33" s="99" t="str">
        <x:v>Tablet usage reached 36%, so most customers did not use the tablets.</x:v>
      </x:c>
      <x:c r="F33" s="100" t="str">
        <x:v>Tablet usage reached 36%, so most customers did not use the tablets.</x:v>
      </x:c>
      <x:c r="G33" s="100" t="str">
        <x:v>Tablet usage reached 36%, so most customers did not use the tablets.</x:v>
      </x:c>
      <x:c r="H33" s="101" t="str">
        <x:v>Tablet usage reached 36%, so most customers did not use the tablets.</x:v>
      </x:c>
      <x:c r="I33" s="99" t="str">
        <x:v>Table-turn time stayed the same during the test launch.</x:v>
      </x:c>
      <x:c r="J33" s="100" t="str">
        <x:v>Table-turn time stayed the same during the test launch.</x:v>
      </x:c>
      <x:c r="K33" s="101" t="str">
        <x:v>Table-turn time stayed the same during the test launch.</x:v>
      </x:c>
      <x:c r="L33" s="99" t="str">
        <x:v>Dinner participation was 100%; drink participation was lowest at 56%.</x:v>
      </x:c>
      <x:c r="M33" s="100" t="str">
        <x:v>Dinner participation was 100%; drink participation was lowest at 56%.</x:v>
      </x:c>
      <x:c r="N33" s="101" t="str">
        <x:v>Dinner participation was 100%; drink participation was lowest at 56%.</x:v>
      </x:c>
    </x:row>
    <x:row r="34" ht="20" customHeight="1">
      <x:c r="A34" s="102" t="str">
        <x:v>72% rated the experience Good or Great; 32% rated it Great.</x:v>
      </x:c>
      <x:c r="B34" s="103" t="str">
        <x:v>72% rated the experience Good or Great; 32% rated it Great.</x:v>
      </x:c>
      <x:c r="C34" s="103" t="str">
        <x:v>72% rated the experience Good or Great; 32% rated it Great.</x:v>
      </x:c>
      <x:c r="D34" s="104" t="str">
        <x:v>72% rated the experience Good or Great; 32% rated it Great.</x:v>
      </x:c>
      <x:c r="E34" s="102" t="str">
        <x:v>Tablet usage reached 36%, so most customers did not use the tablets.</x:v>
      </x:c>
      <x:c r="F34" s="103" t="str">
        <x:v>Tablet usage reached 36%, so most customers did not use the tablets.</x:v>
      </x:c>
      <x:c r="G34" s="103" t="str">
        <x:v>Tablet usage reached 36%, so most customers did not use the tablets.</x:v>
      </x:c>
      <x:c r="H34" s="104" t="str">
        <x:v>Tablet usage reached 36%, so most customers did not use the tablets.</x:v>
      </x:c>
      <x:c r="I34" s="102" t="str">
        <x:v>Table-turn time stayed the same during the test launch.</x:v>
      </x:c>
      <x:c r="J34" s="103" t="str">
        <x:v>Table-turn time stayed the same during the test launch.</x:v>
      </x:c>
      <x:c r="K34" s="104" t="str">
        <x:v>Table-turn time stayed the same during the test launch.</x:v>
      </x:c>
      <x:c r="L34" s="102" t="str">
        <x:v>Dinner participation was 100%; drink participation was lowest at 56%.</x:v>
      </x:c>
      <x:c r="M34" s="103" t="str">
        <x:v>Dinner participation was 100%; drink participation was lowest at 56%.</x:v>
      </x:c>
      <x:c r="N34" s="104" t="str">
        <x:v>Dinner participation was 100%; drink participation was lowest at 56%.</x:v>
      </x:c>
    </x:row>
    <x:row r="36" ht="20" customHeight="1">
      <x:c r="A36" s="109" t="str">
        <x:v>Note: All figures are observed test-launch results. No performance targets or benchmarks are included in this dashboard.</x:v>
      </x:c>
      <x:c r="B36" s="109" t="str">
        <x:v>Note: All figures are observed test-launch results. No performance targets or benchmarks are included in this dashboard.</x:v>
      </x:c>
      <x:c r="C36" s="109" t="str">
        <x:v>Note: All figures are observed test-launch results. No performance targets or benchmarks are included in this dashboard.</x:v>
      </x:c>
      <x:c r="D36" s="109" t="str">
        <x:v>Note: All figures are observed test-launch results. No performance targets or benchmarks are included in this dashboard.</x:v>
      </x:c>
      <x:c r="E36" s="109" t="str">
        <x:v>Note: All figures are observed test-launch results. No performance targets or benchmarks are included in this dashboard.</x:v>
      </x:c>
      <x:c r="F36" s="109" t="str">
        <x:v>Note: All figures are observed test-launch results. No performance targets or benchmarks are included in this dashboard.</x:v>
      </x:c>
      <x:c r="G36" s="109" t="str">
        <x:v>Note: All figures are observed test-launch results. No performance targets or benchmarks are included in this dashboard.</x:v>
      </x:c>
      <x:c r="H36" s="109" t="str">
        <x:v>Note: All figures are observed test-launch results. No performance targets or benchmarks are included in this dashboard.</x:v>
      </x:c>
      <x:c r="I36" s="109" t="str">
        <x:v>Note: All figures are observed test-launch results. No performance targets or benchmarks are included in this dashboard.</x:v>
      </x:c>
      <x:c r="J36" s="109" t="str">
        <x:v>Note: All figures are observed test-launch results. No performance targets or benchmarks are included in this dashboard.</x:v>
      </x:c>
      <x:c r="K36" s="109" t="str">
        <x:v>Note: All figures are observed test-launch results. No performance targets or benchmarks are included in this dashboard.</x:v>
      </x:c>
      <x:c r="L36" s="109" t="str">
        <x:v>Note: All figures are observed test-launch results. No performance targets or benchmarks are included in this dashboard.</x:v>
      </x:c>
      <x:c r="M36" s="109" t="str">
        <x:v>Note: All figures are observed test-launch results. No performance targets or benchmarks are included in this dashboard.</x:v>
      </x:c>
      <x:c r="N36" s="109" t="str">
        <x:v>Note: All figures are observed test-launch results. No performance targets or benchmarks are included in this dashboard.</x:v>
      </x:c>
    </x:row>
    <x:row r="37" ht="20" customHeight="1">
      <x:c r="A37" s="109" t="str">
        <x:v>Note: All figures are observed test-launch results. No performance targets or benchmarks are included in this dashboard.</x:v>
      </x:c>
      <x:c r="B37" s="109" t="str">
        <x:v>Note: All figures are observed test-launch results. No performance targets or benchmarks are included in this dashboard.</x:v>
      </x:c>
      <x:c r="C37" s="109" t="str">
        <x:v>Note: All figures are observed test-launch results. No performance targets or benchmarks are included in this dashboard.</x:v>
      </x:c>
      <x:c r="D37" s="109" t="str">
        <x:v>Note: All figures are observed test-launch results. No performance targets or benchmarks are included in this dashboard.</x:v>
      </x:c>
      <x:c r="E37" s="109" t="str">
        <x:v>Note: All figures are observed test-launch results. No performance targets or benchmarks are included in this dashboard.</x:v>
      </x:c>
      <x:c r="F37" s="109" t="str">
        <x:v>Note: All figures are observed test-launch results. No performance targets or benchmarks are included in this dashboard.</x:v>
      </x:c>
      <x:c r="G37" s="109" t="str">
        <x:v>Note: All figures are observed test-launch results. No performance targets or benchmarks are included in this dashboard.</x:v>
      </x:c>
      <x:c r="H37" s="109" t="str">
        <x:v>Note: All figures are observed test-launch results. No performance targets or benchmarks are included in this dashboard.</x:v>
      </x:c>
      <x:c r="I37" s="109" t="str">
        <x:v>Note: All figures are observed test-launch results. No performance targets or benchmarks are included in this dashboard.</x:v>
      </x:c>
      <x:c r="J37" s="109" t="str">
        <x:v>Note: All figures are observed test-launch results. No performance targets or benchmarks are included in this dashboard.</x:v>
      </x:c>
      <x:c r="K37" s="109" t="str">
        <x:v>Note: All figures are observed test-launch results. No performance targets or benchmarks are included in this dashboard.</x:v>
      </x:c>
      <x:c r="L37" s="109" t="str">
        <x:v>Note: All figures are observed test-launch results. No performance targets or benchmarks are included in this dashboard.</x:v>
      </x:c>
      <x:c r="M37" s="109" t="str">
        <x:v>Note: All figures are observed test-launch results. No performance targets or benchmarks are included in this dashboard.</x:v>
      </x:c>
      <x:c r="N37" s="109" t="str">
        <x:v>Note: All figures are observed test-launch results. No performance targets or benchmarks are included in this dashboard.</x:v>
      </x:c>
    </x:row>
  </x:sheetData>
  <x:mergeCells>
    <x:mergeCell ref="A2:N3"/>
    <x:mergeCell ref="A4:N4"/>
    <x:mergeCell ref="A6:N6"/>
    <x:mergeCell ref="A7:C7"/>
    <x:mergeCell ref="A8:C9"/>
    <x:mergeCell ref="A10:C10"/>
    <x:mergeCell ref="D7:F7"/>
    <x:mergeCell ref="D8:F9"/>
    <x:mergeCell ref="D10:F10"/>
    <x:mergeCell ref="G7:I7"/>
    <x:mergeCell ref="G8:I9"/>
    <x:mergeCell ref="G10:I10"/>
    <x:mergeCell ref="J7:L7"/>
    <x:mergeCell ref="J8:L9"/>
    <x:mergeCell ref="J10:L10"/>
    <x:mergeCell ref="M7:N7"/>
    <x:mergeCell ref="M8:N9"/>
    <x:mergeCell ref="M10:N10"/>
    <x:mergeCell ref="A12:N12"/>
    <x:mergeCell ref="A29:N29"/>
    <x:mergeCell ref="A30:D30"/>
    <x:mergeCell ref="A31:D34"/>
    <x:mergeCell ref="E30:H30"/>
    <x:mergeCell ref="E31:H34"/>
    <x:mergeCell ref="I30:K30"/>
    <x:mergeCell ref="I31:K34"/>
    <x:mergeCell ref="L30:N30"/>
    <x:mergeCell ref="L31:N34"/>
    <x:mergeCell ref="A36:N37"/>
  </x:mergeCells>
  <x:pageMargins left="0.7" right="0.7" top="0.75" bottom="0.75" header="0.3" footer="0.3"/>
  <x:drawing xmlns:r="http://schemas.openxmlformats.org/officeDocument/2006/relationships" r:id="R0ff0b292c7c14f3e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5" hidden="0" customWidth="1"/>
    <x:col min="3" max="3" width="15" hidden="0" customWidth="1"/>
    <x:col min="4" max="4" width="30" hidden="0" customWidth="1"/>
    <x:col min="5" max="5" width="18" hidden="0" customWidth="1"/>
    <x:col min="6" max="6" width="15" hidden="0" customWidth="1"/>
    <x:col min="7" max="7" width="15" hidden="0" customWidth="1"/>
  </x:cols>
  <x:sheetData>
    <x:row r="1">
      <x:c r="A1" s="9" t="str">
        <x:v>SAUCE &amp; SPOON — TABLET LAUNCH | SOURCE DATA</x:v>
      </x:c>
      <x:c r="B1" s="9" t="str"/>
      <x:c r="C1" s="9" t="str"/>
      <x:c r="D1" s="9" t="str"/>
      <x:c r="E1" s="10"/>
      <x:c r="F1" s="10"/>
      <x:c r="G1" s="10"/>
    </x:row>
    <x:row r="2">
      <x:c r="A2" s="10"/>
      <x:c r="B2" s="10"/>
      <x:c r="C2" s="10"/>
      <x:c r="D2" s="10"/>
      <x:c r="E2" s="10"/>
      <x:c r="F2" s="10"/>
      <x:c r="G2" s="10"/>
    </x:row>
    <x:row r="3">
      <x:c r="A3" s="11" t="str">
        <x:v>Metric</x:v>
      </x:c>
      <x:c r="B3" s="11" t="str">
        <x:v>Actual Result</x:v>
      </x:c>
      <x:c r="C3" s="11" t="str">
        <x:v>Customer Count</x:v>
      </x:c>
      <x:c r="D3" s="11" t="str">
        <x:v>Notes</x:v>
      </x:c>
      <x:c r="E3" s="11" t="str">
        <x:v>Menu Category</x:v>
      </x:c>
      <x:c r="F3" s="11" t="str">
        <x:v>Customers</x:v>
      </x:c>
      <x:c r="G3" s="11" t="str">
        <x:v>Participation</x:v>
      </x:c>
    </x:row>
    <x:row r="4">
      <x:c r="A4" s="12" t="str">
        <x:v>Test launch customers</x:v>
      </x:c>
      <x:c r="B4" s="12" t="n">
        <x:v>50</x:v>
      </x:c>
      <x:c r="C4" s="12" t="n">
        <x:f>B4</x:f>
        <x:v>50</x:v>
      </x:c>
      <x:c r="D4" s="12" t="str">
        <x:v>Base for reported customer rates</x:v>
      </x:c>
      <x:c r="E4" s="12" t="str">
        <x:v>Drinks</x:v>
      </x:c>
      <x:c r="F4" s="12" t="n">
        <x:v>28</x:v>
      </x:c>
      <x:c r="G4" s="13" t="n">
        <x:f>F4/$B$4</x:f>
        <x:v>0.56</x:v>
      </x:c>
    </x:row>
    <x:row r="5">
      <x:c r="A5" s="12" t="str">
        <x:v>Tablet usage</x:v>
      </x:c>
      <x:c r="B5" s="13" t="n">
        <x:v>0.36</x:v>
      </x:c>
      <x:c r="C5" s="12" t="n">
        <x:f>B5*$B$4</x:f>
        <x:v>18</x:v>
      </x:c>
      <x:c r="D5" s="12" t="str">
        <x:v>Yes — used tablets</x:v>
      </x:c>
      <x:c r="E5" s="12" t="str">
        <x:v>Appetizers</x:v>
      </x:c>
      <x:c r="F5" s="12" t="n">
        <x:v>41</x:v>
      </x:c>
      <x:c r="G5" s="13" t="n">
        <x:f>F5/$B$4</x:f>
        <x:v>0.82</x:v>
      </x:c>
    </x:row>
    <x:row r="6">
      <x:c r="A6" s="12" t="str">
        <x:v>Newsletter sign-up</x:v>
      </x:c>
      <x:c r="B6" s="13" t="n">
        <x:v>0.78</x:v>
      </x:c>
      <x:c r="C6" s="12" t="n">
        <x:f>B6*$B$4</x:f>
        <x:v>39</x:v>
      </x:c>
      <x:c r="D6" s="12" t="str">
        <x:v>Signed up for newsletter</x:v>
      </x:c>
      <x:c r="E6" s="12" t="str">
        <x:v>Dinner</x:v>
      </x:c>
      <x:c r="F6" s="12" t="n">
        <x:v>50</x:v>
      </x:c>
      <x:c r="G6" s="13" t="n">
        <x:f>F6/$B$4</x:f>
        <x:v>1</x:v>
      </x:c>
    </x:row>
    <x:row r="7">
      <x:c r="A7" s="12" t="str">
        <x:v>Technical issues</x:v>
      </x:c>
      <x:c r="B7" s="13" t="n">
        <x:v>0.12</x:v>
      </x:c>
      <x:c r="C7" s="12" t="n">
        <x:f>B7*$B$4</x:f>
        <x:v>6</x:v>
      </x:c>
      <x:c r="D7" s="12" t="str">
        <x:v>Experienced technical issues</x:v>
      </x:c>
      <x:c r="E7" s="12" t="str">
        <x:v>Dessert</x:v>
      </x:c>
      <x:c r="F7" s="12" t="n">
        <x:v>35</x:v>
      </x:c>
      <x:c r="G7" s="13" t="n">
        <x:f>F7/$B$4</x:f>
        <x:v>0.7</x:v>
      </x:c>
    </x:row>
    <x:row r="8">
      <x:c r="A8" s="12" t="str">
        <x:v>Order accuracy</x:v>
      </x:c>
      <x:c r="B8" s="13" t="n">
        <x:v>0.72</x:v>
      </x:c>
      <x:c r="C8" s="12" t="n">
        <x:f>B8*$B$4</x:f>
        <x:v>36</x:v>
      </x:c>
      <x:c r="D8" s="12" t="str">
        <x:v>Reported orders were correct</x:v>
      </x:c>
      <x:c r="E8" s="10"/>
      <x:c r="F8" s="10"/>
      <x:c r="G8" s="10"/>
    </x:row>
    <x:row r="9">
      <x:c r="A9" s="12" t="str">
        <x:v>Table-turn time</x:v>
      </x:c>
      <x:c r="B9" s="12" t="str">
        <x:v>Stayed the same</x:v>
      </x:c>
      <x:c r="C9" s="12"/>
      <x:c r="D9" s="12" t="str">
        <x:v>No change reported</x:v>
      </x:c>
      <x:c r="E9" s="10"/>
      <x:c r="F9" s="10"/>
      <x:c r="G9" s="10"/>
    </x:row>
    <x:row r="10">
      <x:c r="A10" s="10"/>
      <x:c r="B10" s="10"/>
      <x:c r="C10" s="10"/>
      <x:c r="D10" s="10"/>
      <x:c r="E10" s="10"/>
      <x:c r="F10" s="10"/>
      <x:c r="G10" s="10"/>
    </x:row>
    <x:row r="11">
      <x:c r="A11" s="11" t="str">
        <x:v>Experience Rating</x:v>
      </x:c>
      <x:c r="B11" s="11" t="str">
        <x:v>Customers</x:v>
      </x:c>
      <x:c r="C11" s="11" t="str">
        <x:v>Share of Customers</x:v>
      </x:c>
      <x:c r="D11" s="10"/>
      <x:c r="E11" s="10"/>
      <x:c r="F11" s="10"/>
      <x:c r="G11" s="10"/>
    </x:row>
    <x:row r="12">
      <x:c r="A12" s="12" t="str">
        <x:v>1 — Lacking</x:v>
      </x:c>
      <x:c r="B12" s="12" t="n">
        <x:v>2</x:v>
      </x:c>
      <x:c r="C12" s="13" t="n">
        <x:f>B12/$B$4</x:f>
        <x:v>0.04</x:v>
      </x:c>
      <x:c r="D12" s="10"/>
      <x:c r="E12" s="10"/>
      <x:c r="F12" s="10"/>
      <x:c r="G12" s="10"/>
    </x:row>
    <x:row r="13">
      <x:c r="A13" s="12" t="str">
        <x:v>2 — Mediocre</x:v>
      </x:c>
      <x:c r="B13" s="12" t="n">
        <x:v>5</x:v>
      </x:c>
      <x:c r="C13" s="13" t="n">
        <x:f>B13/$B$4</x:f>
        <x:v>0.1</x:v>
      </x:c>
      <x:c r="D13" s="10"/>
      <x:c r="E13" s="10"/>
      <x:c r="F13" s="10"/>
      <x:c r="G13" s="10"/>
    </x:row>
    <x:row r="14">
      <x:c r="A14" s="12" t="str">
        <x:v>3 — Neutral</x:v>
      </x:c>
      <x:c r="B14" s="12" t="n">
        <x:v>7</x:v>
      </x:c>
      <x:c r="C14" s="13" t="n">
        <x:f>B14/$B$4</x:f>
        <x:v>0.14</x:v>
      </x:c>
      <x:c r="D14" s="10"/>
      <x:c r="E14" s="10"/>
      <x:c r="F14" s="10"/>
      <x:c r="G14" s="10"/>
    </x:row>
    <x:row r="15">
      <x:c r="A15" s="12" t="str">
        <x:v>4 — Good</x:v>
      </x:c>
      <x:c r="B15" s="12" t="n">
        <x:v>20</x:v>
      </x:c>
      <x:c r="C15" s="13" t="n">
        <x:f>B15/$B$4</x:f>
        <x:v>0.4</x:v>
      </x:c>
      <x:c r="D15" s="10"/>
      <x:c r="E15" s="10"/>
      <x:c r="F15" s="10"/>
      <x:c r="G15" s="10"/>
    </x:row>
    <x:row r="16">
      <x:c r="A16" s="12" t="str">
        <x:v>5 — Great</x:v>
      </x:c>
      <x:c r="B16" s="12" t="n">
        <x:v>16</x:v>
      </x:c>
      <x:c r="C16" s="13" t="n">
        <x:f>B16/$B$4</x:f>
        <x:v>0.32</x:v>
      </x:c>
      <x:c r="D16" s="10"/>
      <x:c r="E16" s="10"/>
      <x:c r="F16" s="10"/>
      <x:c r="G16" s="10"/>
    </x:row>
  </x:sheetData>
  <x:mergeCells>
    <x:mergeCell ref="A1:D1"/>
  </x:mergeCells>
  <x:pageMargins left="0.7" right="0.7" top="0.75" bottom="0.75" header="0.3" footer="0.3"/>
</x:worksheet>
</file>